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3. MSP\4. SPARE PART\02. SU DAN POMPA\"/>
    </mc:Choice>
  </mc:AlternateContent>
  <xr:revisionPtr revIDLastSave="0" documentId="13_ncr:1_{743F030B-C83E-4333-BBE5-D6C961DA917B}" xr6:coauthVersionLast="47" xr6:coauthVersionMax="47" xr10:uidLastSave="{00000000-0000-0000-0000-000000000000}"/>
  <bookViews>
    <workbookView xWindow="-120" yWindow="-120" windowWidth="20730" windowHeight="11160" firstSheet="1" activeTab="1" xr2:uid="{00000000-000D-0000-FFFF-FFFF00000000}"/>
  </bookViews>
  <sheets>
    <sheet name="LIST SPARE PART (2)" sheetId="2" state="hidden" r:id="rId1"/>
    <sheet name="LIST SPARE PART" sheetId="1" r:id="rId2"/>
    <sheet name="Sheet1" sheetId="3" r:id="rId3"/>
  </sheets>
  <calcPr calcId="191029"/>
</workbook>
</file>

<file path=xl/calcChain.xml><?xml version="1.0" encoding="utf-8"?>
<calcChain xmlns="http://schemas.openxmlformats.org/spreadsheetml/2006/main">
  <c r="A21" i="1" l="1"/>
  <c r="A22" i="1" s="1"/>
  <c r="A23" i="1" s="1"/>
  <c r="A22" i="2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7" i="2"/>
  <c r="A8" i="2" s="1"/>
  <c r="A9" i="2" s="1"/>
  <c r="A11" i="2" s="1"/>
  <c r="A13" i="2" s="1"/>
  <c r="A6" i="1" l="1"/>
  <c r="A7" i="1" s="1"/>
  <c r="A8" i="1" s="1"/>
  <c r="A10" i="1" s="1"/>
  <c r="A12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</calcChain>
</file>

<file path=xl/sharedStrings.xml><?xml version="1.0" encoding="utf-8"?>
<sst xmlns="http://schemas.openxmlformats.org/spreadsheetml/2006/main" count="383" uniqueCount="115">
  <si>
    <t>DAFTAR KEBUTUHAN MATERIAL BELT CONVEYOR DAN SHIP-UNLOADER</t>
  </si>
  <si>
    <t>SATKER MATERIAL TRANSFER</t>
  </si>
  <si>
    <t>NO</t>
  </si>
  <si>
    <t>JENIS MATERIAL</t>
  </si>
  <si>
    <t>SPESIFIKASI</t>
  </si>
  <si>
    <t>JUMLAH</t>
  </si>
  <si>
    <t>SATUAN</t>
  </si>
  <si>
    <t>PEMAKAIAN</t>
  </si>
  <si>
    <t>Carry Roller BW800</t>
  </si>
  <si>
    <t>Pc</t>
  </si>
  <si>
    <t xml:space="preserve"> Belt Conveyor Area Jetty</t>
  </si>
  <si>
    <t>Impact Roller BW800</t>
  </si>
  <si>
    <t>Return Roller BW800</t>
  </si>
  <si>
    <t>Carry Roller BW1000</t>
  </si>
  <si>
    <t xml:space="preserve"> Belt Conveyor Area Jetty &amp; Pabrik</t>
  </si>
  <si>
    <t>Impact Roller BW1000</t>
  </si>
  <si>
    <t>Return Roller BW1000</t>
  </si>
  <si>
    <t>Belt Cleaner Primary BW800</t>
  </si>
  <si>
    <t>Set</t>
  </si>
  <si>
    <t>Belt Cleaner Secondary BW800</t>
  </si>
  <si>
    <t>Belt Cleaner Secondary Reversible BW800</t>
  </si>
  <si>
    <t>Belt Cleaner V-Plough BW800</t>
  </si>
  <si>
    <t>Belt Cleaner D-Plough BW800</t>
  </si>
  <si>
    <t>Belt Cleaner Primary BW1000</t>
  </si>
  <si>
    <t>Belt Cleaner Secondary BW1000</t>
  </si>
  <si>
    <t>Belt Cleaner Secondary Reversible BW1000</t>
  </si>
  <si>
    <t>Belt Cleaner V-Plough BW1000</t>
  </si>
  <si>
    <t>Belt Cleaner D-Plough BW1000</t>
  </si>
  <si>
    <t>Belt Cleaner Primary BW1200</t>
  </si>
  <si>
    <t>Belt Cleaner Secondary BW1200</t>
  </si>
  <si>
    <t>Belt Cleaner Secondary Reversible BW1200</t>
  </si>
  <si>
    <t>Belt Cleaner V-Plough BW1200</t>
  </si>
  <si>
    <t>Belt Cleaner D-Plough BW1200</t>
  </si>
  <si>
    <t>HYDRAULIC FILTER, SPIN ON</t>
  </si>
  <si>
    <t>DONALDSON P550148</t>
  </si>
  <si>
    <t>Ship Unloader 1 &amp; 2</t>
  </si>
  <si>
    <t>HYDRAULIC FILTER, CARTRIDGE</t>
  </si>
  <si>
    <t>DONALDSON P173046</t>
  </si>
  <si>
    <t>Bearing SKF No. 22220 EK</t>
  </si>
  <si>
    <t>Pulley Belt Conveyor</t>
  </si>
  <si>
    <t>Adapter Sleeves SKF No. H320 (Included Lock Nut &amp; Lock Washer)</t>
  </si>
  <si>
    <t>Seals Housing SKF No. TSN 520 L</t>
  </si>
  <si>
    <t>Bearing SKF No. 22222 EK</t>
  </si>
  <si>
    <t>Adapter Sleeves SKF No. H3122 (Included Lock Nut &amp; Lock Washer)</t>
  </si>
  <si>
    <t>Seals Housing SKF No. TSN 522 L</t>
  </si>
  <si>
    <t>Bearing SKF No. 22224 EK</t>
  </si>
  <si>
    <t>Adapter Sleeves SKF No. H3124 (Included Lock Nut &amp; Lock Washer)</t>
  </si>
  <si>
    <t>Seals Housing SKF No. TSN 524 L</t>
  </si>
  <si>
    <t>Bearing SKF No. 22226 EK</t>
  </si>
  <si>
    <t>Adapter Sleeves SKF No. H3126 (Included Lock Nut &amp; Lock Washer)</t>
  </si>
  <si>
    <t>Seals Housing SKF No. TSN 526 L</t>
  </si>
  <si>
    <t>GEAR BOX Sumitomo Heavy Industries</t>
  </si>
  <si>
    <t>PARAMAX PHA9030R2-LLF-14, Ratio : 13.523  SF : 1.50, Input : 45 kW / 1470 r/min</t>
  </si>
  <si>
    <t>BC T-1013</t>
  </si>
  <si>
    <t>BC T-1013 &amp; BC T-1007A</t>
  </si>
  <si>
    <t>BC T-1009</t>
  </si>
  <si>
    <t>Screw Pin Shackle Crosby</t>
  </si>
  <si>
    <t>DEE G210 WLL 12 Ton Uk. 1-1/4 Inch</t>
  </si>
  <si>
    <t>DEE G210 WLL 1 Ton Uk. 3/8 Inch</t>
  </si>
  <si>
    <t>DEE G210 WLL 2 Ton Uk. 1/2 Inch</t>
  </si>
  <si>
    <t>DEE G210 WLL 6-1/2 Ton Uk. 7/8 Inch</t>
  </si>
  <si>
    <t>Bolt &amp; Nut Shackle Crosby</t>
  </si>
  <si>
    <t>OMEGA G-2130 WLL 9-1/2 Ton Uk. 1-1/8 Inch</t>
  </si>
  <si>
    <t>BRAND</t>
  </si>
  <si>
    <t>Rumelca</t>
  </si>
  <si>
    <t>Technoroll</t>
  </si>
  <si>
    <t xml:space="preserve"> Belt Conveyor Area Pabrik</t>
  </si>
  <si>
    <t>Bulkenhancer</t>
  </si>
  <si>
    <t>Primary Firstliner Cleaner Small Class, Part Number : 113-800-U1-M-S-S</t>
  </si>
  <si>
    <t>Secondliner One-Way Economic Cleaner, Part Number: 123-800-U1-M-S</t>
  </si>
  <si>
    <t>Secondliner Reversible Cleaner C/W (enclosed with) Linear Tensioner, Part Number : 122-800-U1-M-S-S</t>
  </si>
  <si>
    <t>V-Plough, Part Number : 101-800-U1-M</t>
  </si>
  <si>
    <t>D-Plough, Part Number : 220-800-U1-M</t>
  </si>
  <si>
    <t>Primary Firstliner Cleaner Small Class, Part Number : 113-1000-U1-M-S-S</t>
  </si>
  <si>
    <t>Secondliner One-Way Economic Cleaner, Part Number: 123-1000-U1-M-S</t>
  </si>
  <si>
    <t>Secondliner Reversible Cleaner C/W (enclosed with) Linear Tensioner, Part Number : 122-1000-U1-M-S-S</t>
  </si>
  <si>
    <t>V-Plough, Part Number : 101-1000-U1-M</t>
  </si>
  <si>
    <t>D-Plough, Part Number : 220-1000-U1-M</t>
  </si>
  <si>
    <t>Primary Firstliner Cleaner Small Class, Part Number : 113-1200-U1-M-S-S</t>
  </si>
  <si>
    <t>Secondliner One-Way Economic Cleaner, Part Number: 123-1200-U1-M-S</t>
  </si>
  <si>
    <t>Secondliner Reversible Cleaner C/W (enclosed with) Linear Tensioner, Part Number : 122-1200-U1-M-S-S</t>
  </si>
  <si>
    <t>V-Plough, Part Number : 101-1200-U1-M</t>
  </si>
  <si>
    <t>D-Plough, Part Number : 220-1200-U1-M</t>
  </si>
  <si>
    <t>PSV 2. 25Y18, Ø 127N,  C = 304, B = 296, A = 335, g = 11</t>
  </si>
  <si>
    <t>PSV 2. 25Y18, Ø 127N,  C = 904, B = 896, A = 935, g = 11</t>
  </si>
  <si>
    <t>PSV 2. 25Y18.89, Ø 127N,  C = 368, B = 360, A = 399, g = 11</t>
  </si>
  <si>
    <t>Ø127 x 360 x 399 x 30/25 x 18mm</t>
  </si>
  <si>
    <t>PSV 2. 25Y18.89, Ø 133NA,  C = 368, B = 360, A = 399, g = 11</t>
  </si>
  <si>
    <t>Ø89/133 x 360 x 399 x 30/25 x 18mm</t>
  </si>
  <si>
    <t>PSV 2. 25Y18, Ø 127N,  C = 1106, B = 1098, A = 1137, g = 11</t>
  </si>
  <si>
    <t>Ø127 x 1098 x 1160 x 30/25 x 18mm</t>
  </si>
  <si>
    <t>SEISA GC-SSM 224 (Coupling To Pulley Drive), Outside Diameter : 224 mm, Max/Min Shaft Diameter : 100/42 mm, Max. Allowable Rotational Speed : 3410 rpm, Reference Torque : 9810 N-m (1000 kgf-m), Lubricant Capacity : 0.36 L, Weight : 39 kg</t>
  </si>
  <si>
    <t>GEAR COUPLING</t>
  </si>
  <si>
    <t>SEISA</t>
  </si>
  <si>
    <t>SEISA GC-SSM 200 (Coupling To Pulley Drive), Outside Diameter : 200 mm, Max/Min Shaft Diameter : 85/32 mm, Max. Allowable Rotational Speed : 3810 rpm, Reference Torque : 6750 N-m (689 kgf-m), Lubricant Capacity : 0.24 L, Weight : 26 kg</t>
  </si>
  <si>
    <t>Ø127 x 438 x 477 x 30/25 x 18mm</t>
  </si>
  <si>
    <t>Carry Roller BW1200</t>
  </si>
  <si>
    <t>Impact Roller BW1200</t>
  </si>
  <si>
    <t>Return Roller BW1200</t>
  </si>
  <si>
    <t>Ø89/133 x 438 x 477 x 30/25 x 18mm</t>
  </si>
  <si>
    <t>Ø127 x 1296 x 1360 x 30/25 x 18mm</t>
  </si>
  <si>
    <t>PSV 2. 25Y18, Ø 127N, C = 446, B = 438, A = 477, g = 11</t>
  </si>
  <si>
    <t>PSV 2. 25Y18.89, Ø 133NA, C = 446, B = 438, A = 477, g = 11</t>
  </si>
  <si>
    <t>PSV 2. 25Y18, Ø 127N, C = 1304, B = 1296, A = 1335, g = 11</t>
  </si>
  <si>
    <t>Conveyor Belt &amp; Ruebber Repair Resin</t>
  </si>
  <si>
    <t>Pang Industrial</t>
  </si>
  <si>
    <t>Packs</t>
  </si>
  <si>
    <t>Eli-Flex FR1510 - 150 Gram KIT (expaired : 2026)</t>
  </si>
  <si>
    <t xml:space="preserve">GEAR BOX </t>
  </si>
  <si>
    <t>Sumitomo Heavy Industries</t>
  </si>
  <si>
    <t>Conveyor Belt &amp; Rubber Repair Resin</t>
  </si>
  <si>
    <t>Eli-Flex FR 909 N60 150 Gram (expaired : 2026)</t>
  </si>
  <si>
    <t>Pack</t>
  </si>
  <si>
    <t>Ø127 x B =  360 x A = 399 x 30/25 x 18mm</t>
  </si>
  <si>
    <t>Impact Roller Rubber (BW 1000)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</si>
</sst>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4" fillId="0" borderId="0"/>
  </cellStyleXfs>
  <cellXfs count="20">
    <xf numFmtId="0" fontId="0" fillId="0" borderId="0" xfId="0"/>
    <xf numFmtId="0" fontId="1" fillId="0" borderId="0" xfId="0" applyFont="1"/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3" xfId="0" applyBorder="1" applyAlignment="1">
      <alignment horizontal="left" vertical="center"/>
    </xf>
    <xf numFmtId="0" fontId="0" fillId="0" borderId="0" xfId="0" applyAlignment="1">
      <alignment vertical="center"/>
    </xf>
    <xf numFmtId="0" fontId="0" fillId="0" borderId="3" xfId="0" applyBorder="1" applyAlignment="1">
      <alignment horizontal="center"/>
    </xf>
    <xf numFmtId="0" fontId="0" fillId="0" borderId="3" xfId="0" applyBorder="1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3" xfId="0" applyBorder="1" applyAlignment="1">
      <alignment horizontal="left" vertical="center" wrapText="1"/>
    </xf>
    <xf numFmtId="0" fontId="0" fillId="0" borderId="2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D81BB-4516-4BBB-9EB5-B6679B479126}">
  <sheetPr>
    <tabColor rgb="FF7030A0"/>
  </sheetPr>
  <dimension ref="A1:G65"/>
  <sheetViews>
    <sheetView zoomScaleNormal="100" workbookViewId="0">
      <pane ySplit="5" topLeftCell="A9" activePane="bottomLeft" state="frozen"/>
      <selection pane="bottomLeft" activeCell="B30" sqref="B30"/>
    </sheetView>
  </sheetViews>
  <sheetFormatPr defaultRowHeight="15" x14ac:dyDescent="0.25"/>
  <cols>
    <col min="1" max="1" width="5.28515625" style="11" customWidth="1"/>
    <col min="2" max="2" width="41.140625" style="8" customWidth="1"/>
    <col min="3" max="3" width="15.5703125" style="11" customWidth="1"/>
    <col min="4" max="4" width="94.5703125" style="8" customWidth="1"/>
    <col min="5" max="5" width="9.5703125" style="11" customWidth="1"/>
    <col min="6" max="6" width="9.28515625" style="11" customWidth="1"/>
    <col min="7" max="7" width="31.7109375" bestFit="1" customWidth="1"/>
  </cols>
  <sheetData>
    <row r="1" spans="1:7" ht="18.75" x14ac:dyDescent="0.25">
      <c r="A1" s="17" t="s">
        <v>0</v>
      </c>
      <c r="B1" s="17"/>
      <c r="C1" s="17"/>
      <c r="D1" s="17"/>
      <c r="E1" s="17"/>
      <c r="F1" s="17"/>
      <c r="G1" s="17"/>
    </row>
    <row r="2" spans="1:7" ht="18.75" x14ac:dyDescent="0.25">
      <c r="A2" s="17" t="s">
        <v>1</v>
      </c>
      <c r="B2" s="17"/>
      <c r="C2" s="17"/>
      <c r="D2" s="17"/>
      <c r="E2" s="17"/>
      <c r="F2" s="17"/>
      <c r="G2" s="17"/>
    </row>
    <row r="4" spans="1:7" s="1" customFormat="1" ht="20.25" customHeight="1" x14ac:dyDescent="0.25">
      <c r="A4" s="18" t="s">
        <v>2</v>
      </c>
      <c r="B4" s="18" t="s">
        <v>3</v>
      </c>
      <c r="C4" s="18" t="s">
        <v>63</v>
      </c>
      <c r="D4" s="18" t="s">
        <v>4</v>
      </c>
      <c r="E4" s="18" t="s">
        <v>5</v>
      </c>
      <c r="F4" s="18" t="s">
        <v>6</v>
      </c>
      <c r="G4" s="18" t="s">
        <v>7</v>
      </c>
    </row>
    <row r="5" spans="1:7" s="1" customFormat="1" ht="20.25" customHeight="1" x14ac:dyDescent="0.25">
      <c r="A5" s="19"/>
      <c r="B5" s="19"/>
      <c r="C5" s="19"/>
      <c r="D5" s="19"/>
      <c r="E5" s="19"/>
      <c r="F5" s="19"/>
      <c r="G5" s="19"/>
    </row>
    <row r="6" spans="1:7" x14ac:dyDescent="0.25">
      <c r="A6" s="2">
        <v>1</v>
      </c>
      <c r="B6" s="3" t="s">
        <v>8</v>
      </c>
      <c r="C6" s="2" t="s">
        <v>64</v>
      </c>
      <c r="D6" s="3" t="s">
        <v>83</v>
      </c>
      <c r="E6" s="2">
        <v>300</v>
      </c>
      <c r="F6" s="2" t="s">
        <v>9</v>
      </c>
      <c r="G6" s="4" t="s">
        <v>10</v>
      </c>
    </row>
    <row r="7" spans="1:7" x14ac:dyDescent="0.25">
      <c r="A7" s="5">
        <f>A6+1</f>
        <v>2</v>
      </c>
      <c r="B7" s="6" t="s">
        <v>11</v>
      </c>
      <c r="C7" s="2" t="s">
        <v>64</v>
      </c>
      <c r="D7" s="6" t="s">
        <v>83</v>
      </c>
      <c r="E7" s="2">
        <v>100</v>
      </c>
      <c r="F7" s="5" t="s">
        <v>9</v>
      </c>
      <c r="G7" s="4" t="s">
        <v>10</v>
      </c>
    </row>
    <row r="8" spans="1:7" x14ac:dyDescent="0.25">
      <c r="A8" s="5">
        <f t="shared" ref="A8:A65" si="0">A7+1</f>
        <v>3</v>
      </c>
      <c r="B8" s="6" t="s">
        <v>12</v>
      </c>
      <c r="C8" s="2" t="s">
        <v>64</v>
      </c>
      <c r="D8" s="6" t="s">
        <v>84</v>
      </c>
      <c r="E8" s="2">
        <v>150</v>
      </c>
      <c r="F8" s="5" t="s">
        <v>9</v>
      </c>
      <c r="G8" s="4" t="s">
        <v>10</v>
      </c>
    </row>
    <row r="9" spans="1:7" x14ac:dyDescent="0.25">
      <c r="A9" s="15">
        <f t="shared" si="0"/>
        <v>4</v>
      </c>
      <c r="B9" s="6" t="s">
        <v>13</v>
      </c>
      <c r="C9" s="2" t="s">
        <v>64</v>
      </c>
      <c r="D9" s="6" t="s">
        <v>85</v>
      </c>
      <c r="E9" s="2">
        <v>350</v>
      </c>
      <c r="F9" s="5" t="s">
        <v>9</v>
      </c>
      <c r="G9" s="4" t="s">
        <v>10</v>
      </c>
    </row>
    <row r="10" spans="1:7" x14ac:dyDescent="0.25">
      <c r="A10" s="16"/>
      <c r="B10" s="6" t="s">
        <v>13</v>
      </c>
      <c r="C10" s="5" t="s">
        <v>65</v>
      </c>
      <c r="D10" s="6" t="s">
        <v>86</v>
      </c>
      <c r="E10" s="2">
        <v>350</v>
      </c>
      <c r="F10" s="5" t="s">
        <v>9</v>
      </c>
      <c r="G10" s="4" t="s">
        <v>66</v>
      </c>
    </row>
    <row r="11" spans="1:7" x14ac:dyDescent="0.25">
      <c r="A11" s="15">
        <f>A9+1</f>
        <v>5</v>
      </c>
      <c r="B11" s="6" t="s">
        <v>15</v>
      </c>
      <c r="C11" s="2" t="s">
        <v>64</v>
      </c>
      <c r="D11" s="6" t="s">
        <v>87</v>
      </c>
      <c r="E11" s="2">
        <v>350</v>
      </c>
      <c r="F11" s="5" t="s">
        <v>9</v>
      </c>
      <c r="G11" s="4" t="s">
        <v>10</v>
      </c>
    </row>
    <row r="12" spans="1:7" x14ac:dyDescent="0.25">
      <c r="A12" s="16"/>
      <c r="B12" s="6" t="s">
        <v>15</v>
      </c>
      <c r="C12" s="5" t="s">
        <v>65</v>
      </c>
      <c r="D12" s="6" t="s">
        <v>88</v>
      </c>
      <c r="E12" s="2">
        <v>350</v>
      </c>
      <c r="F12" s="5" t="s">
        <v>9</v>
      </c>
      <c r="G12" s="4" t="s">
        <v>66</v>
      </c>
    </row>
    <row r="13" spans="1:7" x14ac:dyDescent="0.25">
      <c r="A13" s="15">
        <f>A11+1</f>
        <v>6</v>
      </c>
      <c r="B13" s="6" t="s">
        <v>16</v>
      </c>
      <c r="C13" s="2" t="s">
        <v>64</v>
      </c>
      <c r="D13" s="6" t="s">
        <v>89</v>
      </c>
      <c r="E13" s="2">
        <v>350</v>
      </c>
      <c r="F13" s="5" t="s">
        <v>9</v>
      </c>
      <c r="G13" s="4" t="s">
        <v>10</v>
      </c>
    </row>
    <row r="14" spans="1:7" x14ac:dyDescent="0.25">
      <c r="A14" s="16"/>
      <c r="B14" s="6" t="s">
        <v>16</v>
      </c>
      <c r="C14" s="5" t="s">
        <v>65</v>
      </c>
      <c r="D14" s="6" t="s">
        <v>90</v>
      </c>
      <c r="E14" s="2">
        <v>350</v>
      </c>
      <c r="F14" s="5" t="s">
        <v>9</v>
      </c>
      <c r="G14" s="4" t="s">
        <v>66</v>
      </c>
    </row>
    <row r="15" spans="1:7" x14ac:dyDescent="0.25">
      <c r="A15" s="15">
        <v>7</v>
      </c>
      <c r="B15" s="6" t="s">
        <v>96</v>
      </c>
      <c r="C15" s="2" t="s">
        <v>64</v>
      </c>
      <c r="D15" s="6" t="s">
        <v>101</v>
      </c>
      <c r="E15" s="2">
        <v>50</v>
      </c>
      <c r="F15" s="5" t="s">
        <v>9</v>
      </c>
      <c r="G15" s="4" t="s">
        <v>10</v>
      </c>
    </row>
    <row r="16" spans="1:7" x14ac:dyDescent="0.25">
      <c r="A16" s="16"/>
      <c r="B16" s="6" t="s">
        <v>96</v>
      </c>
      <c r="C16" s="5" t="s">
        <v>65</v>
      </c>
      <c r="D16" s="6" t="s">
        <v>95</v>
      </c>
      <c r="E16" s="2">
        <v>50</v>
      </c>
      <c r="F16" s="5" t="s">
        <v>9</v>
      </c>
      <c r="G16" s="4" t="s">
        <v>66</v>
      </c>
    </row>
    <row r="17" spans="1:7" x14ac:dyDescent="0.25">
      <c r="A17" s="15">
        <v>8</v>
      </c>
      <c r="B17" s="6" t="s">
        <v>97</v>
      </c>
      <c r="C17" s="2" t="s">
        <v>64</v>
      </c>
      <c r="D17" s="6" t="s">
        <v>102</v>
      </c>
      <c r="E17" s="2">
        <v>50</v>
      </c>
      <c r="F17" s="5" t="s">
        <v>9</v>
      </c>
      <c r="G17" s="4" t="s">
        <v>10</v>
      </c>
    </row>
    <row r="18" spans="1:7" x14ac:dyDescent="0.25">
      <c r="A18" s="16"/>
      <c r="B18" s="6" t="s">
        <v>97</v>
      </c>
      <c r="C18" s="5" t="s">
        <v>65</v>
      </c>
      <c r="D18" s="6" t="s">
        <v>99</v>
      </c>
      <c r="E18" s="2">
        <v>50</v>
      </c>
      <c r="F18" s="5" t="s">
        <v>9</v>
      </c>
      <c r="G18" s="4" t="s">
        <v>66</v>
      </c>
    </row>
    <row r="19" spans="1:7" x14ac:dyDescent="0.25">
      <c r="A19" s="15">
        <v>9</v>
      </c>
      <c r="B19" s="6" t="s">
        <v>98</v>
      </c>
      <c r="C19" s="2" t="s">
        <v>64</v>
      </c>
      <c r="D19" s="6" t="s">
        <v>103</v>
      </c>
      <c r="E19" s="2">
        <v>50</v>
      </c>
      <c r="F19" s="5" t="s">
        <v>9</v>
      </c>
      <c r="G19" s="4" t="s">
        <v>10</v>
      </c>
    </row>
    <row r="20" spans="1:7" x14ac:dyDescent="0.25">
      <c r="A20" s="16"/>
      <c r="B20" s="6" t="s">
        <v>98</v>
      </c>
      <c r="C20" s="5" t="s">
        <v>65</v>
      </c>
      <c r="D20" s="6" t="s">
        <v>100</v>
      </c>
      <c r="E20" s="2">
        <v>50</v>
      </c>
      <c r="F20" s="5" t="s">
        <v>9</v>
      </c>
      <c r="G20" s="4" t="s">
        <v>66</v>
      </c>
    </row>
    <row r="21" spans="1:7" x14ac:dyDescent="0.25">
      <c r="A21" s="2">
        <v>10</v>
      </c>
      <c r="B21" s="6" t="s">
        <v>104</v>
      </c>
      <c r="C21" s="5" t="s">
        <v>105</v>
      </c>
      <c r="D21" s="6" t="s">
        <v>107</v>
      </c>
      <c r="E21" s="2">
        <v>30</v>
      </c>
      <c r="F21" s="5" t="s">
        <v>106</v>
      </c>
      <c r="G21" s="4" t="s">
        <v>14</v>
      </c>
    </row>
    <row r="22" spans="1:7" x14ac:dyDescent="0.25">
      <c r="A22" s="5">
        <f>A21+1</f>
        <v>11</v>
      </c>
      <c r="B22" s="6" t="s">
        <v>17</v>
      </c>
      <c r="C22" s="5" t="s">
        <v>67</v>
      </c>
      <c r="D22" s="6" t="s">
        <v>68</v>
      </c>
      <c r="E22" s="5">
        <v>6</v>
      </c>
      <c r="F22" s="5" t="s">
        <v>18</v>
      </c>
      <c r="G22" s="4" t="s">
        <v>10</v>
      </c>
    </row>
    <row r="23" spans="1:7" x14ac:dyDescent="0.25">
      <c r="A23" s="5">
        <f t="shared" si="0"/>
        <v>12</v>
      </c>
      <c r="B23" s="6" t="s">
        <v>19</v>
      </c>
      <c r="C23" s="5" t="s">
        <v>67</v>
      </c>
      <c r="D23" s="6" t="s">
        <v>69</v>
      </c>
      <c r="E23" s="5">
        <v>5</v>
      </c>
      <c r="F23" s="5" t="s">
        <v>18</v>
      </c>
      <c r="G23" s="4" t="s">
        <v>10</v>
      </c>
    </row>
    <row r="24" spans="1:7" x14ac:dyDescent="0.25">
      <c r="A24" s="5">
        <f t="shared" si="0"/>
        <v>13</v>
      </c>
      <c r="B24" s="6" t="s">
        <v>20</v>
      </c>
      <c r="C24" s="5" t="s">
        <v>67</v>
      </c>
      <c r="D24" s="6" t="s">
        <v>70</v>
      </c>
      <c r="E24" s="5">
        <v>2</v>
      </c>
      <c r="F24" s="5" t="s">
        <v>18</v>
      </c>
      <c r="G24" s="4" t="s">
        <v>10</v>
      </c>
    </row>
    <row r="25" spans="1:7" x14ac:dyDescent="0.25">
      <c r="A25" s="5">
        <f t="shared" si="0"/>
        <v>14</v>
      </c>
      <c r="B25" s="6" t="s">
        <v>21</v>
      </c>
      <c r="C25" s="5" t="s">
        <v>67</v>
      </c>
      <c r="D25" s="6" t="s">
        <v>71</v>
      </c>
      <c r="E25" s="5">
        <v>5</v>
      </c>
      <c r="F25" s="5" t="s">
        <v>18</v>
      </c>
      <c r="G25" s="4" t="s">
        <v>10</v>
      </c>
    </row>
    <row r="26" spans="1:7" x14ac:dyDescent="0.25">
      <c r="A26" s="5">
        <f t="shared" si="0"/>
        <v>15</v>
      </c>
      <c r="B26" s="6" t="s">
        <v>22</v>
      </c>
      <c r="C26" s="5" t="s">
        <v>67</v>
      </c>
      <c r="D26" s="6" t="s">
        <v>72</v>
      </c>
      <c r="E26" s="5">
        <v>2</v>
      </c>
      <c r="F26" s="5" t="s">
        <v>18</v>
      </c>
      <c r="G26" s="4" t="s">
        <v>10</v>
      </c>
    </row>
    <row r="27" spans="1:7" x14ac:dyDescent="0.25">
      <c r="A27" s="5">
        <f t="shared" si="0"/>
        <v>16</v>
      </c>
      <c r="B27" s="6" t="s">
        <v>23</v>
      </c>
      <c r="C27" s="5" t="s">
        <v>67</v>
      </c>
      <c r="D27" s="6" t="s">
        <v>73</v>
      </c>
      <c r="E27" s="5">
        <v>39</v>
      </c>
      <c r="F27" s="5" t="s">
        <v>18</v>
      </c>
      <c r="G27" s="4" t="s">
        <v>14</v>
      </c>
    </row>
    <row r="28" spans="1:7" x14ac:dyDescent="0.25">
      <c r="A28" s="5">
        <f t="shared" si="0"/>
        <v>17</v>
      </c>
      <c r="B28" s="6" t="s">
        <v>24</v>
      </c>
      <c r="C28" s="5" t="s">
        <v>67</v>
      </c>
      <c r="D28" s="6" t="s">
        <v>74</v>
      </c>
      <c r="E28" s="5">
        <v>21</v>
      </c>
      <c r="F28" s="5" t="s">
        <v>18</v>
      </c>
      <c r="G28" s="4" t="s">
        <v>14</v>
      </c>
    </row>
    <row r="29" spans="1:7" x14ac:dyDescent="0.25">
      <c r="A29" s="5">
        <f t="shared" si="0"/>
        <v>18</v>
      </c>
      <c r="B29" s="6" t="s">
        <v>25</v>
      </c>
      <c r="C29" s="5" t="s">
        <v>67</v>
      </c>
      <c r="D29" s="6" t="s">
        <v>75</v>
      </c>
      <c r="E29" s="5">
        <v>16</v>
      </c>
      <c r="F29" s="5" t="s">
        <v>18</v>
      </c>
      <c r="G29" s="4" t="s">
        <v>14</v>
      </c>
    </row>
    <row r="30" spans="1:7" x14ac:dyDescent="0.25">
      <c r="A30" s="5">
        <f t="shared" si="0"/>
        <v>19</v>
      </c>
      <c r="B30" s="6" t="s">
        <v>26</v>
      </c>
      <c r="C30" s="5" t="s">
        <v>67</v>
      </c>
      <c r="D30" s="6" t="s">
        <v>76</v>
      </c>
      <c r="E30" s="5">
        <v>23</v>
      </c>
      <c r="F30" s="5" t="s">
        <v>18</v>
      </c>
      <c r="G30" s="4" t="s">
        <v>14</v>
      </c>
    </row>
    <row r="31" spans="1:7" x14ac:dyDescent="0.25">
      <c r="A31" s="5">
        <f t="shared" si="0"/>
        <v>20</v>
      </c>
      <c r="B31" s="6" t="s">
        <v>27</v>
      </c>
      <c r="C31" s="5" t="s">
        <v>67</v>
      </c>
      <c r="D31" s="6" t="s">
        <v>77</v>
      </c>
      <c r="E31" s="5">
        <v>20</v>
      </c>
      <c r="F31" s="5" t="s">
        <v>18</v>
      </c>
      <c r="G31" s="4" t="s">
        <v>14</v>
      </c>
    </row>
    <row r="32" spans="1:7" x14ac:dyDescent="0.25">
      <c r="A32" s="5">
        <f t="shared" si="0"/>
        <v>21</v>
      </c>
      <c r="B32" s="6" t="s">
        <v>28</v>
      </c>
      <c r="C32" s="5" t="s">
        <v>67</v>
      </c>
      <c r="D32" s="6" t="s">
        <v>78</v>
      </c>
      <c r="E32" s="5">
        <v>3</v>
      </c>
      <c r="F32" s="5" t="s">
        <v>18</v>
      </c>
      <c r="G32" s="4" t="s">
        <v>14</v>
      </c>
    </row>
    <row r="33" spans="1:7" x14ac:dyDescent="0.25">
      <c r="A33" s="5">
        <f t="shared" si="0"/>
        <v>22</v>
      </c>
      <c r="B33" s="6" t="s">
        <v>29</v>
      </c>
      <c r="C33" s="5" t="s">
        <v>67</v>
      </c>
      <c r="D33" s="6" t="s">
        <v>79</v>
      </c>
      <c r="E33" s="5">
        <v>3</v>
      </c>
      <c r="F33" s="5" t="s">
        <v>18</v>
      </c>
      <c r="G33" s="4" t="s">
        <v>14</v>
      </c>
    </row>
    <row r="34" spans="1:7" x14ac:dyDescent="0.25">
      <c r="A34" s="5">
        <f t="shared" si="0"/>
        <v>23</v>
      </c>
      <c r="B34" s="6" t="s">
        <v>30</v>
      </c>
      <c r="C34" s="5" t="s">
        <v>67</v>
      </c>
      <c r="D34" s="6" t="s">
        <v>80</v>
      </c>
      <c r="E34" s="5">
        <v>2</v>
      </c>
      <c r="F34" s="5" t="s">
        <v>18</v>
      </c>
      <c r="G34" s="4" t="s">
        <v>14</v>
      </c>
    </row>
    <row r="35" spans="1:7" x14ac:dyDescent="0.25">
      <c r="A35" s="5">
        <f t="shared" si="0"/>
        <v>24</v>
      </c>
      <c r="B35" s="6" t="s">
        <v>31</v>
      </c>
      <c r="C35" s="5" t="s">
        <v>67</v>
      </c>
      <c r="D35" s="6" t="s">
        <v>81</v>
      </c>
      <c r="E35" s="5">
        <v>3</v>
      </c>
      <c r="F35" s="5" t="s">
        <v>18</v>
      </c>
      <c r="G35" s="4" t="s">
        <v>14</v>
      </c>
    </row>
    <row r="36" spans="1:7" x14ac:dyDescent="0.25">
      <c r="A36" s="5">
        <f t="shared" si="0"/>
        <v>25</v>
      </c>
      <c r="B36" s="6" t="s">
        <v>32</v>
      </c>
      <c r="C36" s="5" t="s">
        <v>67</v>
      </c>
      <c r="D36" s="6" t="s">
        <v>82</v>
      </c>
      <c r="E36" s="5">
        <v>3</v>
      </c>
      <c r="F36" s="5" t="s">
        <v>18</v>
      </c>
      <c r="G36" s="4" t="s">
        <v>14</v>
      </c>
    </row>
    <row r="37" spans="1:7" x14ac:dyDescent="0.25">
      <c r="A37" s="5">
        <f t="shared" si="0"/>
        <v>26</v>
      </c>
      <c r="B37" s="7" t="s">
        <v>33</v>
      </c>
      <c r="D37" s="8" t="s">
        <v>34</v>
      </c>
      <c r="E37" s="5">
        <v>15</v>
      </c>
      <c r="F37" s="5" t="s">
        <v>9</v>
      </c>
      <c r="G37" s="9" t="s">
        <v>35</v>
      </c>
    </row>
    <row r="38" spans="1:7" x14ac:dyDescent="0.25">
      <c r="A38" s="5">
        <f t="shared" si="0"/>
        <v>27</v>
      </c>
      <c r="B38" s="7" t="s">
        <v>36</v>
      </c>
      <c r="C38" s="5"/>
      <c r="D38" s="6" t="s">
        <v>37</v>
      </c>
      <c r="E38" s="5">
        <v>24</v>
      </c>
      <c r="F38" s="5" t="s">
        <v>9</v>
      </c>
      <c r="G38" s="9" t="s">
        <v>35</v>
      </c>
    </row>
    <row r="39" spans="1:7" x14ac:dyDescent="0.25">
      <c r="A39" s="5">
        <f t="shared" si="0"/>
        <v>28</v>
      </c>
      <c r="B39" s="6" t="s">
        <v>38</v>
      </c>
      <c r="C39" s="5"/>
      <c r="D39" s="6"/>
      <c r="E39" s="5">
        <v>10</v>
      </c>
      <c r="F39" s="5" t="s">
        <v>9</v>
      </c>
      <c r="G39" s="9" t="s">
        <v>39</v>
      </c>
    </row>
    <row r="40" spans="1:7" x14ac:dyDescent="0.25">
      <c r="A40" s="5">
        <f t="shared" si="0"/>
        <v>29</v>
      </c>
      <c r="B40" s="6" t="s">
        <v>40</v>
      </c>
      <c r="C40" s="5"/>
      <c r="D40" s="6"/>
      <c r="E40" s="5">
        <v>10</v>
      </c>
      <c r="F40" s="5" t="s">
        <v>18</v>
      </c>
      <c r="G40" s="9" t="s">
        <v>39</v>
      </c>
    </row>
    <row r="41" spans="1:7" x14ac:dyDescent="0.25">
      <c r="A41" s="5">
        <f t="shared" si="0"/>
        <v>30</v>
      </c>
      <c r="B41" s="6" t="s">
        <v>41</v>
      </c>
      <c r="C41" s="5"/>
      <c r="D41" s="6"/>
      <c r="E41" s="5">
        <v>10</v>
      </c>
      <c r="F41" s="5" t="s">
        <v>9</v>
      </c>
      <c r="G41" s="9" t="s">
        <v>39</v>
      </c>
    </row>
    <row r="42" spans="1:7" x14ac:dyDescent="0.25">
      <c r="A42" s="5">
        <f t="shared" si="0"/>
        <v>31</v>
      </c>
      <c r="B42" s="6" t="s">
        <v>42</v>
      </c>
      <c r="C42" s="5"/>
      <c r="D42" s="6"/>
      <c r="E42" s="5">
        <v>10</v>
      </c>
      <c r="F42" s="5" t="s">
        <v>9</v>
      </c>
      <c r="G42" s="9" t="s">
        <v>39</v>
      </c>
    </row>
    <row r="43" spans="1:7" x14ac:dyDescent="0.25">
      <c r="A43" s="5">
        <f t="shared" si="0"/>
        <v>32</v>
      </c>
      <c r="B43" s="6" t="s">
        <v>43</v>
      </c>
      <c r="C43" s="5"/>
      <c r="D43" s="6"/>
      <c r="E43" s="5">
        <v>10</v>
      </c>
      <c r="F43" s="5" t="s">
        <v>18</v>
      </c>
      <c r="G43" s="9" t="s">
        <v>39</v>
      </c>
    </row>
    <row r="44" spans="1:7" x14ac:dyDescent="0.25">
      <c r="A44" s="5">
        <f t="shared" si="0"/>
        <v>33</v>
      </c>
      <c r="B44" s="6" t="s">
        <v>44</v>
      </c>
      <c r="C44" s="5"/>
      <c r="D44" s="6"/>
      <c r="E44" s="5">
        <v>10</v>
      </c>
      <c r="F44" s="5" t="s">
        <v>9</v>
      </c>
      <c r="G44" s="9" t="s">
        <v>39</v>
      </c>
    </row>
    <row r="45" spans="1:7" x14ac:dyDescent="0.25">
      <c r="A45" s="5">
        <f t="shared" si="0"/>
        <v>34</v>
      </c>
      <c r="B45" s="6" t="s">
        <v>45</v>
      </c>
      <c r="C45" s="5"/>
      <c r="D45" s="6"/>
      <c r="E45" s="5">
        <v>10</v>
      </c>
      <c r="F45" s="5" t="s">
        <v>9</v>
      </c>
      <c r="G45" s="9" t="s">
        <v>39</v>
      </c>
    </row>
    <row r="46" spans="1:7" x14ac:dyDescent="0.25">
      <c r="A46" s="5">
        <f t="shared" si="0"/>
        <v>35</v>
      </c>
      <c r="B46" s="6" t="s">
        <v>46</v>
      </c>
      <c r="C46" s="5"/>
      <c r="D46" s="6"/>
      <c r="E46" s="5">
        <v>10</v>
      </c>
      <c r="F46" s="5" t="s">
        <v>18</v>
      </c>
      <c r="G46" s="9" t="s">
        <v>39</v>
      </c>
    </row>
    <row r="47" spans="1:7" x14ac:dyDescent="0.25">
      <c r="A47" s="5">
        <f t="shared" si="0"/>
        <v>36</v>
      </c>
      <c r="B47" s="6" t="s">
        <v>47</v>
      </c>
      <c r="C47" s="5"/>
      <c r="D47" s="6"/>
      <c r="E47" s="5">
        <v>10</v>
      </c>
      <c r="F47" s="5" t="s">
        <v>9</v>
      </c>
      <c r="G47" s="9" t="s">
        <v>39</v>
      </c>
    </row>
    <row r="48" spans="1:7" x14ac:dyDescent="0.25">
      <c r="A48" s="5">
        <f t="shared" si="0"/>
        <v>37</v>
      </c>
      <c r="B48" s="6" t="s">
        <v>48</v>
      </c>
      <c r="C48" s="5"/>
      <c r="D48" s="6"/>
      <c r="E48" s="5">
        <v>10</v>
      </c>
      <c r="F48" s="5" t="s">
        <v>9</v>
      </c>
      <c r="G48" s="9" t="s">
        <v>39</v>
      </c>
    </row>
    <row r="49" spans="1:7" x14ac:dyDescent="0.25">
      <c r="A49" s="5">
        <f t="shared" si="0"/>
        <v>38</v>
      </c>
      <c r="B49" s="6" t="s">
        <v>49</v>
      </c>
      <c r="C49" s="5"/>
      <c r="D49" s="6"/>
      <c r="E49" s="5">
        <v>10</v>
      </c>
      <c r="F49" s="5" t="s">
        <v>18</v>
      </c>
      <c r="G49" s="9" t="s">
        <v>39</v>
      </c>
    </row>
    <row r="50" spans="1:7" x14ac:dyDescent="0.25">
      <c r="A50" s="5">
        <f t="shared" si="0"/>
        <v>39</v>
      </c>
      <c r="B50" s="6" t="s">
        <v>50</v>
      </c>
      <c r="C50" s="5"/>
      <c r="D50" s="6"/>
      <c r="E50" s="5">
        <v>10</v>
      </c>
      <c r="F50" s="5" t="s">
        <v>9</v>
      </c>
      <c r="G50" s="9" t="s">
        <v>39</v>
      </c>
    </row>
    <row r="51" spans="1:7" x14ac:dyDescent="0.25">
      <c r="A51" s="5">
        <f t="shared" si="0"/>
        <v>40</v>
      </c>
      <c r="B51" s="6" t="s">
        <v>51</v>
      </c>
      <c r="C51" s="5"/>
      <c r="D51" s="6" t="s">
        <v>52</v>
      </c>
      <c r="E51" s="5">
        <v>1</v>
      </c>
      <c r="F51" s="5" t="s">
        <v>18</v>
      </c>
      <c r="G51" s="9" t="s">
        <v>53</v>
      </c>
    </row>
    <row r="52" spans="1:7" ht="45" x14ac:dyDescent="0.25">
      <c r="A52" s="5">
        <f t="shared" si="0"/>
        <v>41</v>
      </c>
      <c r="B52" s="6" t="s">
        <v>92</v>
      </c>
      <c r="C52" s="5" t="s">
        <v>93</v>
      </c>
      <c r="D52" s="13" t="s">
        <v>91</v>
      </c>
      <c r="E52" s="5">
        <v>2</v>
      </c>
      <c r="F52" s="5" t="s">
        <v>9</v>
      </c>
      <c r="G52" s="5" t="s">
        <v>54</v>
      </c>
    </row>
    <row r="53" spans="1:7" ht="45" x14ac:dyDescent="0.25">
      <c r="A53" s="5">
        <f t="shared" si="0"/>
        <v>42</v>
      </c>
      <c r="B53" s="6" t="s">
        <v>92</v>
      </c>
      <c r="C53" s="5" t="s">
        <v>93</v>
      </c>
      <c r="D53" s="13" t="s">
        <v>94</v>
      </c>
      <c r="E53" s="5">
        <v>1</v>
      </c>
      <c r="F53" s="5" t="s">
        <v>9</v>
      </c>
      <c r="G53" s="9" t="s">
        <v>55</v>
      </c>
    </row>
    <row r="54" spans="1:7" x14ac:dyDescent="0.25">
      <c r="A54" s="5">
        <f t="shared" si="0"/>
        <v>43</v>
      </c>
      <c r="B54" s="6" t="s">
        <v>56</v>
      </c>
      <c r="C54" s="5"/>
      <c r="D54" s="6" t="s">
        <v>57</v>
      </c>
      <c r="E54" s="5">
        <v>4</v>
      </c>
      <c r="F54" s="5" t="s">
        <v>9</v>
      </c>
      <c r="G54" s="9" t="s">
        <v>35</v>
      </c>
    </row>
    <row r="55" spans="1:7" x14ac:dyDescent="0.25">
      <c r="A55" s="5">
        <f t="shared" si="0"/>
        <v>44</v>
      </c>
      <c r="B55" s="6" t="s">
        <v>56</v>
      </c>
      <c r="C55" s="5"/>
      <c r="D55" s="6" t="s">
        <v>58</v>
      </c>
      <c r="E55" s="5">
        <v>4</v>
      </c>
      <c r="F55" s="5" t="s">
        <v>9</v>
      </c>
      <c r="G55" s="9" t="s">
        <v>35</v>
      </c>
    </row>
    <row r="56" spans="1:7" x14ac:dyDescent="0.25">
      <c r="A56" s="5">
        <f t="shared" si="0"/>
        <v>45</v>
      </c>
      <c r="B56" s="6" t="s">
        <v>56</v>
      </c>
      <c r="C56" s="5"/>
      <c r="D56" s="6" t="s">
        <v>59</v>
      </c>
      <c r="E56" s="5">
        <v>4</v>
      </c>
      <c r="F56" s="5" t="s">
        <v>9</v>
      </c>
      <c r="G56" s="9" t="s">
        <v>35</v>
      </c>
    </row>
    <row r="57" spans="1:7" x14ac:dyDescent="0.25">
      <c r="A57" s="5">
        <f t="shared" si="0"/>
        <v>46</v>
      </c>
      <c r="B57" s="6" t="s">
        <v>56</v>
      </c>
      <c r="C57" s="5"/>
      <c r="D57" s="6" t="s">
        <v>60</v>
      </c>
      <c r="E57" s="5">
        <v>2</v>
      </c>
      <c r="F57" s="5" t="s">
        <v>9</v>
      </c>
      <c r="G57" s="9" t="s">
        <v>35</v>
      </c>
    </row>
    <row r="58" spans="1:7" x14ac:dyDescent="0.25">
      <c r="A58" s="5">
        <f t="shared" si="0"/>
        <v>47</v>
      </c>
      <c r="B58" s="6" t="s">
        <v>61</v>
      </c>
      <c r="C58" s="5"/>
      <c r="D58" s="6" t="s">
        <v>62</v>
      </c>
      <c r="E58" s="5">
        <v>4</v>
      </c>
      <c r="F58" s="5" t="s">
        <v>9</v>
      </c>
      <c r="G58" s="9" t="s">
        <v>35</v>
      </c>
    </row>
    <row r="59" spans="1:7" hidden="1" x14ac:dyDescent="0.25">
      <c r="A59" s="5">
        <f t="shared" si="0"/>
        <v>48</v>
      </c>
      <c r="B59" s="6"/>
      <c r="C59" s="5"/>
      <c r="D59" s="6"/>
      <c r="E59" s="5"/>
      <c r="F59" s="5"/>
      <c r="G59" s="9" t="s">
        <v>35</v>
      </c>
    </row>
    <row r="60" spans="1:7" hidden="1" x14ac:dyDescent="0.25">
      <c r="A60" s="5">
        <f t="shared" si="0"/>
        <v>49</v>
      </c>
      <c r="B60" s="6"/>
      <c r="C60" s="5"/>
      <c r="D60" s="6"/>
      <c r="E60" s="5"/>
      <c r="F60" s="5"/>
      <c r="G60" s="10"/>
    </row>
    <row r="61" spans="1:7" hidden="1" x14ac:dyDescent="0.25">
      <c r="A61" s="5">
        <f t="shared" si="0"/>
        <v>50</v>
      </c>
      <c r="B61" s="6"/>
      <c r="C61" s="5"/>
      <c r="D61" s="6"/>
      <c r="E61" s="5"/>
      <c r="F61" s="5"/>
      <c r="G61" s="10"/>
    </row>
    <row r="62" spans="1:7" hidden="1" x14ac:dyDescent="0.25">
      <c r="A62" s="5">
        <f t="shared" si="0"/>
        <v>51</v>
      </c>
      <c r="B62" s="6"/>
      <c r="C62" s="5"/>
      <c r="D62" s="6"/>
      <c r="E62" s="5"/>
      <c r="F62" s="5"/>
      <c r="G62" s="10"/>
    </row>
    <row r="63" spans="1:7" hidden="1" x14ac:dyDescent="0.25">
      <c r="A63" s="5">
        <f t="shared" si="0"/>
        <v>52</v>
      </c>
      <c r="B63" s="6"/>
      <c r="C63" s="5"/>
      <c r="D63" s="6"/>
      <c r="E63" s="5"/>
      <c r="F63" s="5"/>
      <c r="G63" s="10"/>
    </row>
    <row r="64" spans="1:7" hidden="1" x14ac:dyDescent="0.25">
      <c r="A64" s="5">
        <f t="shared" si="0"/>
        <v>53</v>
      </c>
      <c r="B64" s="6"/>
      <c r="C64" s="5"/>
      <c r="D64" s="6"/>
      <c r="E64" s="5"/>
      <c r="F64" s="5"/>
      <c r="G64" s="10"/>
    </row>
    <row r="65" spans="1:7" hidden="1" x14ac:dyDescent="0.25">
      <c r="A65" s="5">
        <f t="shared" si="0"/>
        <v>54</v>
      </c>
      <c r="B65" s="6"/>
      <c r="C65" s="5"/>
      <c r="D65" s="6"/>
      <c r="E65" s="5"/>
      <c r="F65" s="5"/>
      <c r="G65" s="10"/>
    </row>
  </sheetData>
  <mergeCells count="15">
    <mergeCell ref="A19:A20"/>
    <mergeCell ref="A1:G1"/>
    <mergeCell ref="A2:G2"/>
    <mergeCell ref="A4:A5"/>
    <mergeCell ref="B4:B5"/>
    <mergeCell ref="C4:C5"/>
    <mergeCell ref="D4:D5"/>
    <mergeCell ref="E4:E5"/>
    <mergeCell ref="F4:F5"/>
    <mergeCell ref="G4:G5"/>
    <mergeCell ref="A9:A10"/>
    <mergeCell ref="A11:A12"/>
    <mergeCell ref="A13:A14"/>
    <mergeCell ref="A15:A16"/>
    <mergeCell ref="A17:A18"/>
  </mergeCells>
  <printOptions horizontalCentered="1"/>
  <pageMargins left="0.45" right="0.45" top="0.75" bottom="0.75" header="0.3" footer="0.3"/>
  <pageSetup paperSize="9" orientation="landscape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30A0"/>
  </sheetPr>
  <dimension ref="A1:G36"/>
  <sheetViews>
    <sheetView tabSelected="1" zoomScaleNormal="100" workbookViewId="0">
      <pane ySplit="4" topLeftCell="A5" activePane="bottomLeft" state="frozen"/>
      <selection pane="bottomLeft" activeCell="D36" sqref="D36"/>
    </sheetView>
  </sheetViews>
  <sheetFormatPr defaultRowHeight="15" x14ac:dyDescent="0.25"/>
  <cols>
    <col min="1" max="1" width="5.28515625" style="11" customWidth="1"/>
    <col min="2" max="2" width="37.28515625" style="8" customWidth="1"/>
    <col min="3" max="3" width="26.5703125" style="11" customWidth="1"/>
    <col min="4" max="4" width="94.5703125" style="8" customWidth="1"/>
    <col min="5" max="5" width="9.5703125" style="11" customWidth="1"/>
    <col min="6" max="6" width="9.28515625" style="11" customWidth="1"/>
    <col min="7" max="7" width="31.7109375" bestFit="1" customWidth="1"/>
  </cols>
  <sheetData>
    <row r="1" spans="1:7" ht="18.75" x14ac:dyDescent="0.25">
      <c r="A1" s="17" t="s">
        <v>0</v>
      </c>
      <c r="B1" s="17"/>
      <c r="C1" s="17"/>
      <c r="D1" s="17"/>
      <c r="E1" s="17"/>
      <c r="F1" s="17"/>
      <c r="G1" s="17"/>
    </row>
    <row r="2" spans="1:7" ht="18.75" x14ac:dyDescent="0.25">
      <c r="A2" s="17" t="s">
        <v>1</v>
      </c>
      <c r="B2" s="17"/>
      <c r="C2" s="17"/>
      <c r="D2" s="17"/>
      <c r="E2" s="17"/>
      <c r="F2" s="17"/>
      <c r="G2" s="17"/>
    </row>
    <row r="4" spans="1:7" s="1" customFormat="1" ht="26.25" customHeight="1" x14ac:dyDescent="0.25">
      <c r="A4" s="12" t="s">
        <v>2</v>
      </c>
      <c r="B4" s="12" t="s">
        <v>3</v>
      </c>
      <c r="C4" s="12" t="s">
        <v>63</v>
      </c>
      <c r="D4" s="12" t="s">
        <v>4</v>
      </c>
      <c r="E4" s="12" t="s">
        <v>5</v>
      </c>
      <c r="F4" s="12" t="s">
        <v>6</v>
      </c>
      <c r="G4" s="12" t="s">
        <v>7</v>
      </c>
    </row>
    <row r="5" spans="1:7" ht="20.100000000000001" customHeight="1" x14ac:dyDescent="0.25">
      <c r="A5" s="2">
        <v>1</v>
      </c>
      <c r="B5" s="14" t="s">
        <v>8</v>
      </c>
      <c r="C5" s="2" t="s">
        <v>64</v>
      </c>
      <c r="D5" s="14" t="s">
        <v>83</v>
      </c>
      <c r="E5" s="2">
        <v>300</v>
      </c>
      <c r="F5" s="2" t="s">
        <v>9</v>
      </c>
      <c r="G5" s="2" t="s">
        <v>10</v>
      </c>
    </row>
    <row r="6" spans="1:7" ht="20.100000000000001" customHeight="1" x14ac:dyDescent="0.25">
      <c r="A6" s="5">
        <f>A5+1</f>
        <v>2</v>
      </c>
      <c r="B6" s="7" t="s">
        <v>11</v>
      </c>
      <c r="C6" s="2" t="s">
        <v>64</v>
      </c>
      <c r="D6" s="7" t="s">
        <v>83</v>
      </c>
      <c r="E6" s="2">
        <v>100</v>
      </c>
      <c r="F6" s="5" t="s">
        <v>9</v>
      </c>
      <c r="G6" s="2" t="s">
        <v>10</v>
      </c>
    </row>
    <row r="7" spans="1:7" ht="20.100000000000001" customHeight="1" x14ac:dyDescent="0.25">
      <c r="A7" s="5">
        <f t="shared" ref="A7:A34" si="0">A6+1</f>
        <v>3</v>
      </c>
      <c r="B7" s="7" t="s">
        <v>12</v>
      </c>
      <c r="C7" s="2" t="s">
        <v>64</v>
      </c>
      <c r="D7" s="7" t="s">
        <v>84</v>
      </c>
      <c r="E7" s="2">
        <v>150</v>
      </c>
      <c r="F7" s="5" t="s">
        <v>9</v>
      </c>
      <c r="G7" s="2" t="s">
        <v>10</v>
      </c>
    </row>
    <row r="8" spans="1:7" ht="20.100000000000001" customHeight="1" x14ac:dyDescent="0.25">
      <c r="A8" s="15">
        <f t="shared" si="0"/>
        <v>4</v>
      </c>
      <c r="B8" s="7" t="s">
        <v>13</v>
      </c>
      <c r="C8" s="2" t="s">
        <v>64</v>
      </c>
      <c r="D8" s="7" t="s">
        <v>85</v>
      </c>
      <c r="E8" s="2">
        <v>350</v>
      </c>
      <c r="F8" s="5" t="s">
        <v>9</v>
      </c>
      <c r="G8" s="2" t="s">
        <v>10</v>
      </c>
    </row>
    <row r="9" spans="1:7" ht="20.100000000000001" customHeight="1" x14ac:dyDescent="0.25">
      <c r="A9" s="16"/>
      <c r="B9" s="7" t="s">
        <v>13</v>
      </c>
      <c r="C9" s="5" t="s">
        <v>65</v>
      </c>
      <c r="D9" s="7" t="s">
        <v>86</v>
      </c>
      <c r="E9" s="2">
        <v>350</v>
      </c>
      <c r="F9" s="5" t="s">
        <v>9</v>
      </c>
      <c r="G9" s="2" t="s">
        <v>66</v>
      </c>
    </row>
    <row r="10" spans="1:7" ht="20.100000000000001" customHeight="1" x14ac:dyDescent="0.25">
      <c r="A10" s="15">
        <f>A8+1</f>
        <v>5</v>
      </c>
      <c r="B10" s="7" t="s">
        <v>15</v>
      </c>
      <c r="C10" s="2" t="s">
        <v>64</v>
      </c>
      <c r="D10" s="7" t="s">
        <v>87</v>
      </c>
      <c r="E10" s="2">
        <v>350</v>
      </c>
      <c r="F10" s="5" t="s">
        <v>9</v>
      </c>
      <c r="G10" s="2" t="s">
        <v>10</v>
      </c>
    </row>
    <row r="11" spans="1:7" ht="20.100000000000001" customHeight="1" x14ac:dyDescent="0.25">
      <c r="A11" s="16"/>
      <c r="B11" s="7" t="s">
        <v>15</v>
      </c>
      <c r="C11" s="5" t="s">
        <v>65</v>
      </c>
      <c r="D11" s="7" t="s">
        <v>88</v>
      </c>
      <c r="E11" s="2">
        <v>350</v>
      </c>
      <c r="F11" s="5" t="s">
        <v>9</v>
      </c>
      <c r="G11" s="2" t="s">
        <v>66</v>
      </c>
    </row>
    <row r="12" spans="1:7" ht="20.100000000000001" customHeight="1" x14ac:dyDescent="0.25">
      <c r="A12" s="15">
        <f>A10+1</f>
        <v>6</v>
      </c>
      <c r="B12" s="7" t="s">
        <v>16</v>
      </c>
      <c r="C12" s="2" t="s">
        <v>64</v>
      </c>
      <c r="D12" s="7" t="s">
        <v>89</v>
      </c>
      <c r="E12" s="2">
        <v>350</v>
      </c>
      <c r="F12" s="5" t="s">
        <v>9</v>
      </c>
      <c r="G12" s="2" t="s">
        <v>10</v>
      </c>
    </row>
    <row r="13" spans="1:7" ht="20.100000000000001" customHeight="1" x14ac:dyDescent="0.25">
      <c r="A13" s="16"/>
      <c r="B13" s="7" t="s">
        <v>16</v>
      </c>
      <c r="C13" s="5" t="s">
        <v>65</v>
      </c>
      <c r="D13" s="7" t="s">
        <v>90</v>
      </c>
      <c r="E13" s="2">
        <v>350</v>
      </c>
      <c r="F13" s="5" t="s">
        <v>9</v>
      </c>
      <c r="G13" s="2" t="s">
        <v>66</v>
      </c>
    </row>
    <row r="14" spans="1:7" ht="20.100000000000001" customHeight="1" x14ac:dyDescent="0.25">
      <c r="A14" s="15">
        <v>7</v>
      </c>
      <c r="B14" s="7" t="s">
        <v>96</v>
      </c>
      <c r="C14" s="2" t="s">
        <v>64</v>
      </c>
      <c r="D14" s="7" t="s">
        <v>101</v>
      </c>
      <c r="E14" s="2">
        <v>50</v>
      </c>
      <c r="F14" s="5" t="s">
        <v>9</v>
      </c>
      <c r="G14" s="2" t="s">
        <v>10</v>
      </c>
    </row>
    <row r="15" spans="1:7" ht="20.100000000000001" customHeight="1" x14ac:dyDescent="0.25">
      <c r="A15" s="16"/>
      <c r="B15" s="7" t="s">
        <v>96</v>
      </c>
      <c r="C15" s="5" t="s">
        <v>65</v>
      </c>
      <c r="D15" s="7" t="s">
        <v>95</v>
      </c>
      <c r="E15" s="2">
        <v>50</v>
      </c>
      <c r="F15" s="5" t="s">
        <v>9</v>
      </c>
      <c r="G15" s="2" t="s">
        <v>66</v>
      </c>
    </row>
    <row r="16" spans="1:7" ht="20.100000000000001" customHeight="1" x14ac:dyDescent="0.25">
      <c r="A16" s="15">
        <v>8</v>
      </c>
      <c r="B16" s="7" t="s">
        <v>97</v>
      </c>
      <c r="C16" s="2" t="s">
        <v>64</v>
      </c>
      <c r="D16" s="7" t="s">
        <v>102</v>
      </c>
      <c r="E16" s="2">
        <v>50</v>
      </c>
      <c r="F16" s="5" t="s">
        <v>9</v>
      </c>
      <c r="G16" s="2" t="s">
        <v>10</v>
      </c>
    </row>
    <row r="17" spans="1:7" ht="20.100000000000001" customHeight="1" x14ac:dyDescent="0.25">
      <c r="A17" s="16"/>
      <c r="B17" s="7" t="s">
        <v>97</v>
      </c>
      <c r="C17" s="5" t="s">
        <v>65</v>
      </c>
      <c r="D17" s="7" t="s">
        <v>99</v>
      </c>
      <c r="E17" s="2">
        <v>50</v>
      </c>
      <c r="F17" s="5" t="s">
        <v>9</v>
      </c>
      <c r="G17" s="2" t="s">
        <v>66</v>
      </c>
    </row>
    <row r="18" spans="1:7" ht="20.100000000000001" customHeight="1" x14ac:dyDescent="0.25">
      <c r="A18" s="15">
        <v>9</v>
      </c>
      <c r="B18" s="7" t="s">
        <v>98</v>
      </c>
      <c r="C18" s="2" t="s">
        <v>64</v>
      </c>
      <c r="D18" s="7" t="s">
        <v>103</v>
      </c>
      <c r="E18" s="2">
        <v>50</v>
      </c>
      <c r="F18" s="5" t="s">
        <v>9</v>
      </c>
      <c r="G18" s="2" t="s">
        <v>10</v>
      </c>
    </row>
    <row r="19" spans="1:7" ht="20.100000000000001" customHeight="1" x14ac:dyDescent="0.25">
      <c r="A19" s="16"/>
      <c r="B19" s="7" t="s">
        <v>98</v>
      </c>
      <c r="C19" s="5" t="s">
        <v>65</v>
      </c>
      <c r="D19" s="7" t="s">
        <v>100</v>
      </c>
      <c r="E19" s="2">
        <v>50</v>
      </c>
      <c r="F19" s="5" t="s">
        <v>9</v>
      </c>
      <c r="G19" s="2" t="s">
        <v>66</v>
      </c>
    </row>
    <row r="20" spans="1:7" ht="20.100000000000001" customHeight="1" x14ac:dyDescent="0.25">
      <c r="A20" s="2">
        <v>10</v>
      </c>
      <c r="B20" s="7" t="s">
        <v>110</v>
      </c>
      <c r="C20" s="5" t="s">
        <v>105</v>
      </c>
      <c r="D20" s="7" t="s">
        <v>111</v>
      </c>
      <c r="E20" s="2">
        <v>20</v>
      </c>
      <c r="F20" s="5" t="s">
        <v>112</v>
      </c>
      <c r="G20" s="2" t="s">
        <v>14</v>
      </c>
    </row>
    <row r="21" spans="1:7" ht="20.100000000000001" customHeight="1" x14ac:dyDescent="0.25">
      <c r="A21" s="5">
        <f t="shared" si="0"/>
        <v>11</v>
      </c>
      <c r="B21" s="7" t="s">
        <v>108</v>
      </c>
      <c r="C21" s="5" t="s">
        <v>109</v>
      </c>
      <c r="D21" s="7" t="s">
        <v>52</v>
      </c>
      <c r="E21" s="5">
        <v>1</v>
      </c>
      <c r="F21" s="5" t="s">
        <v>18</v>
      </c>
      <c r="G21" s="5" t="s">
        <v>53</v>
      </c>
    </row>
    <row r="22" spans="1:7" ht="45" x14ac:dyDescent="0.25">
      <c r="A22" s="5">
        <f t="shared" si="0"/>
        <v>12</v>
      </c>
      <c r="B22" s="7" t="s">
        <v>92</v>
      </c>
      <c r="C22" s="5" t="s">
        <v>93</v>
      </c>
      <c r="D22" s="13" t="s">
        <v>91</v>
      </c>
      <c r="E22" s="5">
        <v>2</v>
      </c>
      <c r="F22" s="5" t="s">
        <v>9</v>
      </c>
      <c r="G22" s="5" t="s">
        <v>54</v>
      </c>
    </row>
    <row r="23" spans="1:7" ht="45" x14ac:dyDescent="0.25">
      <c r="A23" s="5">
        <f t="shared" si="0"/>
        <v>13</v>
      </c>
      <c r="B23" s="7" t="s">
        <v>92</v>
      </c>
      <c r="C23" s="5" t="s">
        <v>93</v>
      </c>
      <c r="D23" s="13" t="s">
        <v>94</v>
      </c>
      <c r="E23" s="5">
        <v>1</v>
      </c>
      <c r="F23" s="5" t="s">
        <v>9</v>
      </c>
      <c r="G23" s="5" t="s">
        <v>55</v>
      </c>
    </row>
    <row r="24" spans="1:7" ht="20.100000000000001" customHeight="1" x14ac:dyDescent="0.25">
      <c r="A24" s="5">
        <f t="shared" si="0"/>
        <v>14</v>
      </c>
      <c r="B24" s="7" t="s">
        <v>56</v>
      </c>
      <c r="C24" s="5"/>
      <c r="D24" s="7" t="s">
        <v>57</v>
      </c>
      <c r="E24" s="5">
        <v>4</v>
      </c>
      <c r="F24" s="5" t="s">
        <v>9</v>
      </c>
      <c r="G24" s="5" t="s">
        <v>35</v>
      </c>
    </row>
    <row r="25" spans="1:7" ht="20.100000000000001" customHeight="1" x14ac:dyDescent="0.25">
      <c r="A25" s="5">
        <f t="shared" si="0"/>
        <v>15</v>
      </c>
      <c r="B25" s="7" t="s">
        <v>56</v>
      </c>
      <c r="C25" s="5"/>
      <c r="D25" s="7" t="s">
        <v>58</v>
      </c>
      <c r="E25" s="5">
        <v>10</v>
      </c>
      <c r="F25" s="5" t="s">
        <v>9</v>
      </c>
      <c r="G25" s="5" t="s">
        <v>35</v>
      </c>
    </row>
    <row r="26" spans="1:7" ht="20.100000000000001" customHeight="1" x14ac:dyDescent="0.25">
      <c r="A26" s="5">
        <f t="shared" si="0"/>
        <v>16</v>
      </c>
      <c r="B26" s="7" t="s">
        <v>56</v>
      </c>
      <c r="C26" s="5"/>
      <c r="D26" s="7" t="s">
        <v>59</v>
      </c>
      <c r="E26" s="5">
        <v>10</v>
      </c>
      <c r="F26" s="5" t="s">
        <v>9</v>
      </c>
      <c r="G26" s="5" t="s">
        <v>35</v>
      </c>
    </row>
    <row r="27" spans="1:7" ht="20.100000000000001" customHeight="1" x14ac:dyDescent="0.25">
      <c r="A27" s="5">
        <f t="shared" si="0"/>
        <v>17</v>
      </c>
      <c r="B27" s="7" t="s">
        <v>56</v>
      </c>
      <c r="C27" s="5"/>
      <c r="D27" s="7" t="s">
        <v>60</v>
      </c>
      <c r="E27" s="5">
        <v>6</v>
      </c>
      <c r="F27" s="5" t="s">
        <v>9</v>
      </c>
      <c r="G27" s="5" t="s">
        <v>35</v>
      </c>
    </row>
    <row r="28" spans="1:7" hidden="1" x14ac:dyDescent="0.25">
      <c r="A28" s="5" t="e">
        <f>#REF!+1</f>
        <v>#REF!</v>
      </c>
      <c r="B28" s="6"/>
      <c r="C28" s="5"/>
      <c r="D28" s="6"/>
      <c r="E28" s="5"/>
      <c r="F28" s="5"/>
      <c r="G28" s="9" t="s">
        <v>35</v>
      </c>
    </row>
    <row r="29" spans="1:7" hidden="1" x14ac:dyDescent="0.25">
      <c r="A29" s="5" t="e">
        <f t="shared" si="0"/>
        <v>#REF!</v>
      </c>
      <c r="B29" s="6"/>
      <c r="C29" s="5"/>
      <c r="D29" s="6"/>
      <c r="E29" s="5"/>
      <c r="F29" s="5"/>
      <c r="G29" s="10"/>
    </row>
    <row r="30" spans="1:7" hidden="1" x14ac:dyDescent="0.25">
      <c r="A30" s="5" t="e">
        <f t="shared" si="0"/>
        <v>#REF!</v>
      </c>
      <c r="B30" s="6"/>
      <c r="C30" s="5"/>
      <c r="D30" s="6"/>
      <c r="E30" s="5"/>
      <c r="F30" s="5"/>
      <c r="G30" s="10"/>
    </row>
    <row r="31" spans="1:7" hidden="1" x14ac:dyDescent="0.25">
      <c r="A31" s="5" t="e">
        <f t="shared" si="0"/>
        <v>#REF!</v>
      </c>
      <c r="B31" s="6"/>
      <c r="C31" s="5"/>
      <c r="D31" s="6"/>
      <c r="E31" s="5"/>
      <c r="F31" s="5"/>
      <c r="G31" s="10"/>
    </row>
    <row r="32" spans="1:7" hidden="1" x14ac:dyDescent="0.25">
      <c r="A32" s="5" t="e">
        <f t="shared" si="0"/>
        <v>#REF!</v>
      </c>
      <c r="B32" s="6"/>
      <c r="C32" s="5"/>
      <c r="D32" s="6"/>
      <c r="E32" s="5"/>
      <c r="F32" s="5"/>
      <c r="G32" s="10"/>
    </row>
    <row r="33" spans="1:7" hidden="1" x14ac:dyDescent="0.25">
      <c r="A33" s="5" t="e">
        <f t="shared" si="0"/>
        <v>#REF!</v>
      </c>
      <c r="B33" s="6"/>
      <c r="C33" s="5"/>
      <c r="D33" s="6"/>
      <c r="E33" s="5"/>
      <c r="F33" s="5"/>
      <c r="G33" s="10"/>
    </row>
    <row r="34" spans="1:7" hidden="1" x14ac:dyDescent="0.25">
      <c r="A34" s="5" t="e">
        <f t="shared" si="0"/>
        <v>#REF!</v>
      </c>
      <c r="B34" s="6"/>
      <c r="C34" s="5"/>
      <c r="D34" s="6"/>
      <c r="E34" s="5"/>
      <c r="F34" s="5"/>
      <c r="G34" s="10"/>
    </row>
    <row r="36" spans="1:7" x14ac:dyDescent="0.25">
      <c r="B36" s="8" t="s">
        <v>114</v>
      </c>
    </row>
  </sheetData>
  <mergeCells count="8">
    <mergeCell ref="A1:G1"/>
    <mergeCell ref="A2:G2"/>
    <mergeCell ref="A18:A19"/>
    <mergeCell ref="A8:A9"/>
    <mergeCell ref="A10:A11"/>
    <mergeCell ref="A12:A13"/>
    <mergeCell ref="A14:A15"/>
    <mergeCell ref="A16:A17"/>
  </mergeCells>
  <phoneticPr fontId="5" type="noConversion"/>
  <printOptions horizontalCentered="1"/>
  <pageMargins left="0.45" right="0.45" top="0.75" bottom="0.75" header="0.3" footer="0.3"/>
  <pageSetup paperSize="9" orientation="landscape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62862-FB7A-4927-8CC4-E7C79B6AFE7A}">
  <dimension ref="C3:E8"/>
  <sheetViews>
    <sheetView workbookViewId="0">
      <selection activeCell="E9" sqref="E9"/>
    </sheetView>
  </sheetViews>
  <sheetFormatPr defaultRowHeight="15" x14ac:dyDescent="0.25"/>
  <cols>
    <col min="3" max="3" width="32.42578125" customWidth="1"/>
    <col min="4" max="4" width="20.85546875" customWidth="1"/>
    <col min="5" max="5" width="39.85546875" customWidth="1"/>
  </cols>
  <sheetData>
    <row r="3" spans="3:5" x14ac:dyDescent="0.25">
      <c r="C3" s="7" t="s">
        <v>13</v>
      </c>
      <c r="D3" s="5" t="s">
        <v>65</v>
      </c>
      <c r="E3" s="7" t="s">
        <v>113</v>
      </c>
    </row>
    <row r="4" spans="3:5" x14ac:dyDescent="0.25">
      <c r="C4" s="7" t="s">
        <v>15</v>
      </c>
      <c r="D4" s="5" t="s">
        <v>65</v>
      </c>
      <c r="E4" s="7" t="s">
        <v>88</v>
      </c>
    </row>
    <row r="5" spans="3:5" x14ac:dyDescent="0.25">
      <c r="C5" s="7" t="s">
        <v>16</v>
      </c>
      <c r="D5" s="5" t="s">
        <v>65</v>
      </c>
      <c r="E5" s="7" t="s">
        <v>90</v>
      </c>
    </row>
    <row r="6" spans="3:5" x14ac:dyDescent="0.25">
      <c r="C6" s="7" t="s">
        <v>96</v>
      </c>
      <c r="D6" s="5" t="s">
        <v>65</v>
      </c>
      <c r="E6" s="7" t="s">
        <v>95</v>
      </c>
    </row>
    <row r="7" spans="3:5" x14ac:dyDescent="0.25">
      <c r="C7" s="7" t="s">
        <v>97</v>
      </c>
      <c r="D7" s="5" t="s">
        <v>65</v>
      </c>
      <c r="E7" s="7" t="s">
        <v>99</v>
      </c>
    </row>
    <row r="8" spans="3:5" x14ac:dyDescent="0.25">
      <c r="C8" s="7" t="s">
        <v>98</v>
      </c>
      <c r="D8" s="5" t="s">
        <v>65</v>
      </c>
      <c r="E8" s="7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LIST SPARE PART (2)</vt:lpstr>
      <vt:lpstr>LIST SPARE PART</vt:lpstr>
      <vt:lpstr>Sheet1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Rahmayanti Tongasa</dc:creator>
  <cp:lastModifiedBy>ROSSY MULYO PRIHANTORO</cp:lastModifiedBy>
  <dcterms:created xsi:type="dcterms:W3CDTF">2022-03-14T14:34:10Z</dcterms:created>
  <dcterms:modified xsi:type="dcterms:W3CDTF">2025-02-21T00:48:23Z</dcterms:modified>
</cp:coreProperties>
</file>